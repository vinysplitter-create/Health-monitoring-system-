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<sst xmlns="http://schemas.openxmlformats.org/spreadsheetml/2006/main" count="80" uniqueCount="65">
  <si>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</si>
  <si>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ARDUINO?</t>
  </si>
  <si>
    <t>SIMPLE GANTT CHART by Vertex42.com</t>
  </si>
  <si>
    <t>Enter Company Name in cell B2.</t>
  </si>
  <si>
    <t>ARDUINO BASED HEALTH MONITORING SYSTEM</t>
  </si>
  <si>
    <t>https://www.vertex42.com/ExcelTemplates/simple-gantt-chart.html</t>
  </si>
  <si>
    <t>Enter the name of the Project Lead in cell B3. Enter the Project Start date in cell E3. Pooject Start: label is in cell C3.</t>
  </si>
  <si>
    <t>BASIL VINCENT</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</si>
  <si>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</si>
  <si>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</si>
  <si>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</si>
  <si>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</si>
  <si>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</si>
  <si>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PROJECT PLANNING AND DESING</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</si>
  <si>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</si>
  <si>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</si>
  <si>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</si>
  <si>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</si>
  <si>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</si>
  <si>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</si>
  <si>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</si>
  <si>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Title</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</si>
  <si>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</si>
  <si>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</si>
  <si>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</si>
  <si>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Topic selection and proposal</t>
  </si>
  <si>
    <t>vincent</t>
  </si>
  <si>
    <t>Literature review</t>
  </si>
  <si>
    <t>system requiremet analysis</t>
  </si>
  <si>
    <t>faith</t>
  </si>
  <si>
    <t>block diagram and flowchart</t>
  </si>
  <si>
    <t>sidi</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</si>
  <si>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</si>
  <si>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SIMULATION AND PROGGRAMING</t>
  </si>
  <si>
    <t xml:space="preserve">Proteus circuit desing </t>
  </si>
  <si>
    <t xml:space="preserve">proteus simulation </t>
  </si>
  <si>
    <t>Arduino simulation testing</t>
  </si>
  <si>
    <t>Arduino code development</t>
  </si>
  <si>
    <t>Sample phase title block</t>
  </si>
  <si>
    <t>PCB AND MECHANICAL DESIGN</t>
  </si>
  <si>
    <t xml:space="preserve">KICAD schematic design </t>
  </si>
  <si>
    <t>PCB layout design</t>
  </si>
  <si>
    <t>Aautocad  enclosure desing</t>
  </si>
  <si>
    <t xml:space="preserve">TESTING AAND DOCUMENTATION </t>
  </si>
  <si>
    <t xml:space="preserve">System integration and testing </t>
  </si>
  <si>
    <t>Debugging and optimization</t>
  </si>
  <si>
    <t>2/29/26</t>
  </si>
  <si>
    <t xml:space="preserve">Report writing </t>
  </si>
  <si>
    <t xml:space="preserve">Final presentation and submission </t>
  </si>
  <si>
    <t>This is an empty row</t>
  </si>
  <si>
    <t>This row marks the end of the Project Schedule. DO NOT enter anything in this row. 
Insert new rows ABOVE this one to continue building out your Project Schedule.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</si>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</sst>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m/d/yy;@"/>
    <numFmt numFmtId="178" formatCode="ddd\,\ m/d/yyyy"/>
    <numFmt numFmtId="179" formatCode="mmm\ d\,\ yyyy"/>
    <numFmt numFmtId="180" formatCode="d"/>
  </numFmts>
  <fonts count="38">
    <font>
      <sz val="11"/>
      <color theme="1"/>
      <name val="Calibri"/>
      <charset val="134"/>
      <scheme val="minor"/>
    </font>
    <font>
      <b/>
      <sz val="10"/>
      <name val="Calibri"/>
      <charset val="134"/>
      <scheme val="minor"/>
    </font>
    <font>
      <sz val="10"/>
      <name val="Calibri"/>
      <charset val="134"/>
      <scheme val="minor"/>
    </font>
    <font>
      <sz val="20"/>
      <name val="Calibri"/>
      <charset val="134"/>
      <scheme val="major"/>
    </font>
    <font>
      <b/>
      <sz val="12"/>
      <color theme="1" tint="0.349986266670736"/>
      <name val="Calibri"/>
      <charset val="134"/>
      <scheme val="minor"/>
    </font>
    <font>
      <sz val="11"/>
      <color theme="1" tint="0.499984740745262"/>
      <name val="Calibri"/>
      <charset val="134"/>
      <scheme val="minor"/>
    </font>
    <font>
      <b/>
      <sz val="16"/>
      <color theme="4" tint="-0.249977111117893"/>
      <name val="Calibri"/>
      <charset val="134"/>
      <scheme val="major"/>
    </font>
    <font>
      <sz val="11"/>
      <color rgb="FF1D2129"/>
      <name val="Calibri"/>
      <charset val="134"/>
      <scheme val="minor"/>
    </font>
    <font>
      <u/>
      <sz val="11"/>
      <color indexed="12"/>
      <name val="Arial"/>
      <charset val="134"/>
    </font>
    <font>
      <sz val="11"/>
      <color theme="0"/>
      <name val="Calibri"/>
      <charset val="134"/>
      <scheme val="minor"/>
    </font>
    <font>
      <b/>
      <sz val="22"/>
      <color theme="1" tint="0.349986266670736"/>
      <name val="Calibri"/>
      <charset val="134"/>
      <scheme val="major"/>
    </font>
    <font>
      <b/>
      <sz val="20"/>
      <color theme="4" tint="-0.249977111117893"/>
      <name val="Calibri"/>
      <charset val="134"/>
      <scheme val="major"/>
    </font>
    <font>
      <sz val="14"/>
      <color theme="1"/>
      <name val="Calibri"/>
      <charset val="134"/>
      <scheme val="minor"/>
    </font>
    <font>
      <b/>
      <sz val="9"/>
      <color theme="0"/>
      <name val="Calibri"/>
      <charset val="134"/>
      <scheme val="minor"/>
    </font>
    <font>
      <b/>
      <sz val="11"/>
      <color theme="1"/>
      <name val="Calibri"/>
      <charset val="134"/>
      <scheme val="minor"/>
    </font>
    <font>
      <sz val="11"/>
      <name val="Calibri"/>
      <charset val="134"/>
      <scheme val="minor"/>
    </font>
    <font>
      <i/>
      <sz val="9"/>
      <color theme="1"/>
      <name val="Calibri"/>
      <charset val="134"/>
      <scheme val="minor"/>
    </font>
    <font>
      <sz val="10"/>
      <color theme="1" tint="0.499984740745262"/>
      <name val="Calibri"/>
      <charset val="134"/>
      <scheme val="minor"/>
    </font>
    <font>
      <b/>
      <sz val="11"/>
      <color theme="1" tint="0.499984740745262"/>
      <name val="Calibri"/>
      <charset val="134"/>
      <scheme val="minor"/>
    </font>
    <font>
      <sz val="10"/>
      <color theme="1" tint="0.499984740745262"/>
      <name val="Arial"/>
      <charset val="134"/>
    </font>
    <font>
      <sz val="9"/>
      <name val="Calibri"/>
      <charset val="134"/>
      <scheme val="minor"/>
    </font>
    <font>
      <sz val="8"/>
      <color theme="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i/>
      <sz val="11"/>
      <color rgb="FF7F7F7F"/>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theme="1" tint="0.349986266670736"/>
        <bgColor theme="4"/>
      </patternFill>
    </fill>
    <fill>
      <patternFill patternType="solid">
        <fgColor theme="4" tint="0.599993896298105"/>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0" tint="-0.0499893185216834"/>
        <bgColor indexed="64"/>
      </patternFill>
    </fill>
    <fill>
      <patternFill patternType="solid">
        <fgColor theme="0" tint="-0.149998474074526"/>
        <bgColor indexed="64"/>
      </patternFill>
    </fill>
    <fill>
      <patternFill patternType="solid">
        <fgColor theme="1"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theme="0" tint="-0.349986266670736"/>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right/>
      <top/>
      <bottom style="thin">
        <color theme="0" tint="-0.349986266670736"/>
      </bottom>
      <diagonal/>
    </border>
    <border>
      <left/>
      <right/>
      <top style="thin">
        <color theme="0" tint="-0.349986266670736"/>
      </top>
      <bottom/>
      <diagonal/>
    </border>
    <border>
      <left/>
      <right/>
      <top style="medium">
        <color theme="0" tint="-0.14996795556505"/>
      </top>
      <bottom style="medium">
        <color theme="0" tint="-0.14996795556505"/>
      </bottom>
      <diagonal/>
    </border>
    <border>
      <left style="thin">
        <color theme="0" tint="-0.349986266670736"/>
      </left>
      <right/>
      <top style="thin">
        <color theme="0" tint="-0.349986266670736"/>
      </top>
      <bottom/>
      <diagonal/>
    </border>
    <border>
      <left/>
      <right style="thin">
        <color theme="0" tint="-0.349986266670736"/>
      </right>
      <top style="thin">
        <color theme="0" tint="-0.349986266670736"/>
      </top>
      <bottom/>
      <diagonal/>
    </border>
    <border>
      <left style="thin">
        <color theme="0" tint="-0.349986266670736"/>
      </left>
      <right/>
      <top/>
      <bottom/>
      <diagonal/>
    </border>
    <border>
      <left style="thin">
        <color theme="0" tint="-0.349986266670736"/>
      </left>
      <right style="thin">
        <color theme="0" tint="-0.349986266670736"/>
      </right>
      <top/>
      <bottom style="medium">
        <color theme="0" tint="-0.14996795556505"/>
      </bottom>
      <diagonal/>
    </border>
    <border>
      <left style="thin">
        <color theme="0" tint="-0.149937437055574"/>
      </left>
      <right style="thin">
        <color theme="0" tint="-0.149937437055574"/>
      </right>
      <top style="medium">
        <color theme="0" tint="-0.14996795556505"/>
      </top>
      <bottom style="medium">
        <color theme="0" tint="-0.14996795556505"/>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2" applyFont="0" applyFill="0" applyAlignment="0" applyProtection="0"/>
    <xf numFmtId="44" fontId="22" fillId="0" borderId="0" applyFont="0" applyFill="0" applyBorder="0" applyAlignment="0" applyProtection="0">
      <alignment vertical="center"/>
    </xf>
    <xf numFmtId="9" fontId="0" fillId="0" borderId="0" applyFont="0" applyFill="0" applyBorder="0" applyAlignment="0" applyProtection="0"/>
    <xf numFmtId="176"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8" fillId="0" borderId="0" applyNumberFormat="0" applyFill="0" applyBorder="0" applyAlignment="0" applyProtection="0">
      <alignment vertical="top"/>
      <protection locked="0"/>
    </xf>
    <xf numFmtId="0" fontId="23" fillId="0" borderId="0" applyNumberFormat="0" applyFill="0" applyBorder="0" applyAlignment="0" applyProtection="0">
      <alignment vertical="center"/>
    </xf>
    <xf numFmtId="0" fontId="22" fillId="14" borderId="11" applyNumberFormat="0" applyFont="0" applyAlignment="0" applyProtection="0">
      <alignment vertical="center"/>
    </xf>
    <xf numFmtId="0" fontId="24" fillId="0" borderId="0" applyNumberFormat="0" applyFill="0" applyBorder="0" applyAlignment="0" applyProtection="0">
      <alignment vertical="center"/>
    </xf>
    <xf numFmtId="0" fontId="10" fillId="0" borderId="0" applyNumberFormat="0" applyFill="0" applyBorder="0" applyAlignment="0" applyProtection="0"/>
    <xf numFmtId="0" fontId="25" fillId="0" borderId="0" applyNumberFormat="0" applyFill="0" applyBorder="0" applyAlignment="0" applyProtection="0">
      <alignment vertical="center"/>
    </xf>
    <xf numFmtId="0" fontId="12" fillId="0" borderId="0" applyNumberFormat="0" applyFill="0" applyAlignment="0" applyProtection="0"/>
    <xf numFmtId="0" fontId="12" fillId="0" borderId="0" applyNumberFormat="0" applyFill="0" applyProtection="0">
      <alignment vertical="top"/>
    </xf>
    <xf numFmtId="0" fontId="0" fillId="0" borderId="0" applyNumberFormat="0" applyFill="0" applyProtection="0">
      <alignment horizontal="right" indent="1"/>
    </xf>
    <xf numFmtId="0" fontId="26" fillId="0" borderId="0" applyNumberFormat="0" applyFill="0" applyBorder="0" applyAlignment="0" applyProtection="0">
      <alignment vertical="center"/>
    </xf>
    <xf numFmtId="0" fontId="27" fillId="15" borderId="12" applyNumberFormat="0" applyAlignment="0" applyProtection="0">
      <alignment vertical="center"/>
    </xf>
    <xf numFmtId="0" fontId="28" fillId="16" borderId="13" applyNumberFormat="0" applyAlignment="0" applyProtection="0">
      <alignment vertical="center"/>
    </xf>
    <xf numFmtId="0" fontId="29" fillId="16" borderId="12" applyNumberFormat="0" applyAlignment="0" applyProtection="0">
      <alignment vertical="center"/>
    </xf>
    <xf numFmtId="0" fontId="30" fillId="17" borderId="14" applyNumberFormat="0" applyAlignment="0" applyProtection="0">
      <alignment vertical="center"/>
    </xf>
    <xf numFmtId="0" fontId="31" fillId="0" borderId="15" applyNumberFormat="0" applyFill="0" applyAlignment="0" applyProtection="0">
      <alignment vertical="center"/>
    </xf>
    <xf numFmtId="0" fontId="32" fillId="0" borderId="16" applyNumberFormat="0" applyFill="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6" fillId="44" borderId="0" applyNumberFormat="0" applyBorder="0" applyAlignment="0" applyProtection="0">
      <alignment vertical="center"/>
    </xf>
    <xf numFmtId="177" fontId="0" fillId="0" borderId="5" applyFill="0">
      <alignment horizontal="center" vertical="center"/>
    </xf>
    <xf numFmtId="0" fontId="0" fillId="0" borderId="5" applyFill="0">
      <alignment horizontal="center" vertical="center"/>
    </xf>
    <xf numFmtId="178" fontId="0" fillId="0" borderId="2">
      <alignment horizontal="center" vertical="center"/>
    </xf>
    <xf numFmtId="0" fontId="0" fillId="0" borderId="5" applyFill="0">
      <alignment horizontal="left" vertical="center" indent="2"/>
    </xf>
    <xf numFmtId="0" fontId="9" fillId="0" borderId="0"/>
  </cellStyleXfs>
  <cellXfs count="103">
    <xf numFmtId="0" fontId="0" fillId="0" borderId="0" xfId="0"/>
    <xf numFmtId="0" fontId="1" fillId="0" borderId="0" xfId="0" applyFont="1" applyAlignment="1">
      <alignment horizontal="left" vertical="center"/>
    </xf>
    <xf numFmtId="0" fontId="2" fillId="0" borderId="0" xfId="0" applyFont="1" applyAlignment="1">
      <alignment horizontal="left" vertical="top"/>
    </xf>
    <xf numFmtId="0" fontId="3"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left" vertical="center"/>
    </xf>
    <xf numFmtId="0" fontId="5" fillId="0" borderId="0" xfId="0" applyFont="1" applyAlignment="1">
      <alignment vertical="top"/>
    </xf>
    <xf numFmtId="0" fontId="6" fillId="0" borderId="0" xfId="0" applyFont="1" applyAlignment="1">
      <alignment vertical="center"/>
    </xf>
    <xf numFmtId="0" fontId="7" fillId="0" borderId="0" xfId="0" applyFont="1" applyAlignment="1">
      <alignment horizontal="left" vertical="top" wrapText="1" indent="1"/>
    </xf>
    <xf numFmtId="0" fontId="0" fillId="0" borderId="0" xfId="0" applyAlignment="1">
      <alignment vertical="top" wrapText="1"/>
    </xf>
    <xf numFmtId="0" fontId="8" fillId="0" borderId="0" xfId="6" applyAlignment="1" applyProtection="1">
      <alignment horizontal="left" vertical="top"/>
    </xf>
    <xf numFmtId="0" fontId="0" fillId="0" borderId="0" xfId="0" applyAlignment="1">
      <alignment vertical="center"/>
    </xf>
    <xf numFmtId="0" fontId="9" fillId="0" borderId="0" xfId="53"/>
    <xf numFmtId="0" fontId="0" fillId="0" borderId="0" xfId="0" applyAlignment="1">
      <alignment horizontal="center"/>
    </xf>
    <xf numFmtId="0" fontId="9" fillId="0" borderId="0" xfId="53" applyAlignment="1">
      <alignment wrapText="1"/>
    </xf>
    <xf numFmtId="0" fontId="10" fillId="0" borderId="0" xfId="10" applyAlignment="1">
      <alignment horizontal="left"/>
    </xf>
    <xf numFmtId="0" fontId="11" fillId="0" borderId="0" xfId="0" applyFont="1" applyAlignment="1">
      <alignment horizontal="left"/>
    </xf>
    <xf numFmtId="0" fontId="2" fillId="0" borderId="0" xfId="0" applyFont="1" applyAlignment="1">
      <alignment horizontal="center"/>
    </xf>
    <xf numFmtId="0" fontId="2" fillId="0" borderId="0" xfId="0" applyFont="1" applyAlignment="1">
      <alignment horizontal="center" vertical="center"/>
    </xf>
    <xf numFmtId="0" fontId="12" fillId="0" borderId="0" xfId="12"/>
    <xf numFmtId="0" fontId="12" fillId="0" borderId="0" xfId="13">
      <alignment vertical="top"/>
    </xf>
    <xf numFmtId="0" fontId="0" fillId="0" borderId="0" xfId="14">
      <alignment horizontal="right" indent="1"/>
    </xf>
    <xf numFmtId="0" fontId="0" fillId="0" borderId="1" xfId="14" applyBorder="1">
      <alignment horizontal="right" indent="1"/>
    </xf>
    <xf numFmtId="178" fontId="0" fillId="0" borderId="2" xfId="51">
      <alignment horizontal="center" vertical="center"/>
    </xf>
    <xf numFmtId="0" fontId="0" fillId="0" borderId="2" xfId="0" applyBorder="1" applyAlignment="1">
      <alignment horizontal="center" vertical="center"/>
    </xf>
    <xf numFmtId="0" fontId="0" fillId="0" borderId="3" xfId="0" applyBorder="1"/>
    <xf numFmtId="0" fontId="13" fillId="2" borderId="4" xfId="0" applyFont="1" applyFill="1" applyBorder="1" applyAlignment="1">
      <alignment horizontal="left" vertical="center" indent="1"/>
    </xf>
    <xf numFmtId="0" fontId="13" fillId="2" borderId="4" xfId="0" applyFont="1" applyFill="1" applyBorder="1" applyAlignment="1">
      <alignment horizontal="center" vertical="center" wrapText="1"/>
    </xf>
    <xf numFmtId="0" fontId="0" fillId="0" borderId="0" xfId="0" applyAlignment="1">
      <alignment wrapText="1"/>
    </xf>
    <xf numFmtId="0" fontId="14" fillId="3" borderId="5" xfId="0" applyFont="1" applyFill="1" applyBorder="1" applyAlignment="1">
      <alignment horizontal="left" vertical="center" indent="1"/>
    </xf>
    <xf numFmtId="0" fontId="0" fillId="3" borderId="5" xfId="50" applyFill="1">
      <alignment horizontal="center" vertical="center"/>
    </xf>
    <xf numFmtId="9" fontId="15" fillId="3" borderId="5" xfId="3" applyFont="1" applyFill="1" applyBorder="1" applyAlignment="1">
      <alignment horizontal="center" vertical="center"/>
    </xf>
    <xf numFmtId="177" fontId="0" fillId="3" borderId="5" xfId="0" applyNumberFormat="1" applyFill="1" applyBorder="1" applyAlignment="1">
      <alignment horizontal="center" vertical="center"/>
    </xf>
    <xf numFmtId="177" fontId="15" fillId="3" borderId="5" xfId="0" applyNumberFormat="1" applyFont="1" applyFill="1" applyBorder="1" applyAlignment="1">
      <alignment horizontal="center" vertical="center"/>
    </xf>
    <xf numFmtId="0" fontId="15" fillId="0" borderId="5" xfId="0" applyFont="1" applyBorder="1" applyAlignment="1">
      <alignment horizontal="center" vertical="center"/>
    </xf>
    <xf numFmtId="0" fontId="0" fillId="4" borderId="5" xfId="52" applyFill="1">
      <alignment horizontal="left" vertical="center" indent="2"/>
    </xf>
    <xf numFmtId="0" fontId="0" fillId="4" borderId="5" xfId="50" applyFill="1">
      <alignment horizontal="center" vertical="center"/>
    </xf>
    <xf numFmtId="9" fontId="15" fillId="4" borderId="5" xfId="3" applyFont="1" applyFill="1" applyBorder="1" applyAlignment="1">
      <alignment horizontal="center" vertical="center"/>
    </xf>
    <xf numFmtId="177" fontId="0" fillId="4" borderId="5" xfId="49" applyFill="1">
      <alignment horizontal="center" vertical="center"/>
    </xf>
    <xf numFmtId="0" fontId="0" fillId="4" borderId="5" xfId="52" applyFont="1" applyFill="1">
      <alignment horizontal="left" vertical="center" indent="2"/>
    </xf>
    <xf numFmtId="0" fontId="0" fillId="4" borderId="5" xfId="50" applyFont="1" applyFill="1">
      <alignment horizontal="center" vertical="center"/>
    </xf>
    <xf numFmtId="0" fontId="14" fillId="5" borderId="5" xfId="0" applyFont="1" applyFill="1" applyBorder="1" applyAlignment="1">
      <alignment horizontal="left" vertical="center" indent="1"/>
    </xf>
    <xf numFmtId="0" fontId="0" fillId="5" borderId="5" xfId="50" applyFill="1">
      <alignment horizontal="center" vertical="center"/>
    </xf>
    <xf numFmtId="9" fontId="15" fillId="5" borderId="5" xfId="3" applyFont="1" applyFill="1" applyBorder="1" applyAlignment="1">
      <alignment horizontal="center" vertical="center"/>
    </xf>
    <xf numFmtId="177" fontId="0" fillId="5" borderId="5" xfId="0" applyNumberFormat="1" applyFill="1" applyBorder="1" applyAlignment="1">
      <alignment horizontal="center" vertical="center"/>
    </xf>
    <xf numFmtId="177" fontId="15" fillId="5" borderId="5" xfId="0" applyNumberFormat="1" applyFont="1" applyFill="1" applyBorder="1" applyAlignment="1">
      <alignment horizontal="center" vertical="center"/>
    </xf>
    <xf numFmtId="0" fontId="0" fillId="6" borderId="5" xfId="52" applyFont="1" applyFill="1">
      <alignment horizontal="left" vertical="center" indent="2"/>
    </xf>
    <xf numFmtId="0" fontId="0" fillId="6" borderId="5" xfId="50" applyFont="1" applyFill="1">
      <alignment horizontal="center" vertical="center"/>
    </xf>
    <xf numFmtId="9" fontId="15" fillId="6" borderId="5" xfId="3" applyNumberFormat="1" applyFont="1" applyFill="1" applyBorder="1" applyAlignment="1">
      <alignment horizontal="center" vertical="center"/>
    </xf>
    <xf numFmtId="177" fontId="0" fillId="6" borderId="5" xfId="49" applyFill="1">
      <alignment horizontal="center" vertical="center"/>
    </xf>
    <xf numFmtId="0" fontId="0" fillId="6" borderId="5" xfId="52" applyFill="1">
      <alignment horizontal="left" vertical="center" indent="2"/>
    </xf>
    <xf numFmtId="0" fontId="0" fillId="6" borderId="5" xfId="50" applyFill="1">
      <alignment horizontal="center" vertical="center"/>
    </xf>
    <xf numFmtId="9" fontId="15" fillId="6" borderId="5" xfId="3" applyFont="1" applyFill="1" applyBorder="1" applyAlignment="1">
      <alignment horizontal="center" vertical="center"/>
    </xf>
    <xf numFmtId="0" fontId="14" fillId="7" borderId="5" xfId="0" applyFont="1" applyFill="1" applyBorder="1" applyAlignment="1">
      <alignment horizontal="left" vertical="center" indent="1"/>
    </xf>
    <xf numFmtId="0" fontId="0" fillId="7" borderId="5" xfId="50" applyFill="1">
      <alignment horizontal="center" vertical="center"/>
    </xf>
    <xf numFmtId="9" fontId="15" fillId="7" borderId="5" xfId="3" applyFont="1" applyFill="1" applyBorder="1" applyAlignment="1">
      <alignment horizontal="center" vertical="center"/>
    </xf>
    <xf numFmtId="177" fontId="0" fillId="7" borderId="5" xfId="0" applyNumberFormat="1" applyFill="1" applyBorder="1" applyAlignment="1">
      <alignment horizontal="center" vertical="center"/>
    </xf>
    <xf numFmtId="177" fontId="15" fillId="7" borderId="5" xfId="0" applyNumberFormat="1" applyFont="1" applyFill="1" applyBorder="1" applyAlignment="1">
      <alignment horizontal="center" vertical="center"/>
    </xf>
    <xf numFmtId="0" fontId="0" fillId="8" borderId="5" xfId="52" applyFont="1" applyFill="1">
      <alignment horizontal="left" vertical="center" indent="2"/>
    </xf>
    <xf numFmtId="0" fontId="0" fillId="8" borderId="5" xfId="50" applyFont="1" applyFill="1">
      <alignment horizontal="center" vertical="center"/>
    </xf>
    <xf numFmtId="9" fontId="15" fillId="8" borderId="5" xfId="3" applyFont="1" applyFill="1" applyBorder="1" applyAlignment="1">
      <alignment horizontal="center" vertical="center"/>
    </xf>
    <xf numFmtId="177" fontId="0" fillId="8" borderId="5" xfId="49" applyFill="1">
      <alignment horizontal="center" vertical="center"/>
    </xf>
    <xf numFmtId="177" fontId="0" fillId="8" borderId="5" xfId="49" applyFont="1" applyFill="1">
      <alignment horizontal="center" vertical="center"/>
    </xf>
    <xf numFmtId="0" fontId="0" fillId="8" borderId="5" xfId="52" applyFill="1">
      <alignment horizontal="left" vertical="center" indent="2"/>
    </xf>
    <xf numFmtId="0" fontId="0" fillId="8" borderId="5" xfId="50" applyFill="1">
      <alignment horizontal="center" vertical="center"/>
    </xf>
    <xf numFmtId="0" fontId="14" fillId="9" borderId="5" xfId="0" applyFont="1" applyFill="1" applyBorder="1" applyAlignment="1">
      <alignment horizontal="left" vertical="center" indent="1"/>
    </xf>
    <xf numFmtId="0" fontId="0" fillId="9" borderId="5" xfId="50" applyFill="1">
      <alignment horizontal="center" vertical="center"/>
    </xf>
    <xf numFmtId="9" fontId="15" fillId="9" borderId="5" xfId="3" applyFont="1" applyFill="1" applyBorder="1" applyAlignment="1">
      <alignment horizontal="center" vertical="center"/>
    </xf>
    <xf numFmtId="177" fontId="0" fillId="9" borderId="5" xfId="0" applyNumberFormat="1" applyFill="1" applyBorder="1" applyAlignment="1">
      <alignment horizontal="center" vertical="center"/>
    </xf>
    <xf numFmtId="177" fontId="15" fillId="9" borderId="5" xfId="0" applyNumberFormat="1" applyFont="1" applyFill="1" applyBorder="1" applyAlignment="1">
      <alignment horizontal="center" vertical="center"/>
    </xf>
    <xf numFmtId="0" fontId="0" fillId="10" borderId="5" xfId="52" applyFont="1" applyFill="1">
      <alignment horizontal="left" vertical="center" indent="2"/>
    </xf>
    <xf numFmtId="0" fontId="0" fillId="10" borderId="5" xfId="50" applyFont="1" applyFill="1">
      <alignment horizontal="center" vertical="center"/>
    </xf>
    <xf numFmtId="9" fontId="15" fillId="10" borderId="5" xfId="3" applyFont="1" applyFill="1" applyBorder="1" applyAlignment="1">
      <alignment horizontal="center" vertical="center"/>
    </xf>
    <xf numFmtId="177" fontId="0" fillId="10" borderId="5" xfId="49" applyFill="1">
      <alignment horizontal="center" vertical="center"/>
    </xf>
    <xf numFmtId="177" fontId="0" fillId="10" borderId="5" xfId="49" applyFont="1" applyFill="1">
      <alignment horizontal="center" vertical="center"/>
    </xf>
    <xf numFmtId="0" fontId="0" fillId="10" borderId="5" xfId="52" applyFill="1">
      <alignment horizontal="left" vertical="center" indent="2"/>
    </xf>
    <xf numFmtId="0" fontId="0" fillId="10" borderId="5" xfId="50" applyFill="1">
      <alignment horizontal="center" vertical="center"/>
    </xf>
    <xf numFmtId="0" fontId="0" fillId="0" borderId="5" xfId="52">
      <alignment horizontal="left" vertical="center" indent="2"/>
    </xf>
    <xf numFmtId="0" fontId="0" fillId="0" borderId="5" xfId="50">
      <alignment horizontal="center" vertical="center"/>
    </xf>
    <xf numFmtId="9" fontId="15" fillId="0" borderId="5" xfId="3" applyFont="1" applyBorder="1" applyAlignment="1">
      <alignment horizontal="center" vertical="center"/>
    </xf>
    <xf numFmtId="177" fontId="0" fillId="0" borderId="5" xfId="49">
      <alignment horizontal="center" vertical="center"/>
    </xf>
    <xf numFmtId="0" fontId="16" fillId="11" borderId="5" xfId="0" applyFont="1" applyFill="1" applyBorder="1" applyAlignment="1">
      <alignment horizontal="left" vertical="center" indent="1"/>
    </xf>
    <xf numFmtId="0" fontId="16" fillId="11" borderId="5" xfId="0" applyFont="1" applyFill="1" applyBorder="1" applyAlignment="1">
      <alignment horizontal="center" vertical="center"/>
    </xf>
    <xf numFmtId="9" fontId="15" fillId="11" borderId="5" xfId="3" applyFont="1" applyFill="1" applyBorder="1" applyAlignment="1">
      <alignment horizontal="center" vertical="center"/>
    </xf>
    <xf numFmtId="177" fontId="17" fillId="11" borderId="5" xfId="0" applyNumberFormat="1" applyFont="1" applyFill="1" applyBorder="1" applyAlignment="1">
      <alignment horizontal="left" vertical="center"/>
    </xf>
    <xf numFmtId="177" fontId="15" fillId="11" borderId="5" xfId="0" applyNumberFormat="1" applyFont="1" applyFill="1" applyBorder="1" applyAlignment="1">
      <alignment horizontal="center" vertical="center"/>
    </xf>
    <xf numFmtId="0" fontId="15" fillId="11" borderId="5" xfId="0" applyFont="1" applyFill="1" applyBorder="1" applyAlignment="1">
      <alignment horizontal="center" vertical="center"/>
    </xf>
    <xf numFmtId="0" fontId="0" fillId="0" borderId="0" xfId="0" applyAlignment="1">
      <alignment horizontal="right" vertical="center"/>
    </xf>
    <xf numFmtId="0" fontId="18" fillId="0" borderId="0" xfId="0" applyFont="1"/>
    <xf numFmtId="0" fontId="9" fillId="0" borderId="0" xfId="0" applyFont="1" applyAlignment="1">
      <alignment horizontal="center"/>
    </xf>
    <xf numFmtId="0" fontId="19" fillId="0" borderId="0" xfId="6" applyFont="1" applyAlignment="1" applyProtection="1"/>
    <xf numFmtId="0" fontId="19" fillId="0" borderId="0" xfId="6" applyFont="1" applyProtection="1">
      <alignment vertical="top"/>
    </xf>
    <xf numFmtId="179" fontId="0" fillId="12" borderId="6" xfId="0" applyNumberFormat="1" applyFill="1" applyBorder="1" applyAlignment="1">
      <alignment horizontal="left" vertical="center" wrapText="1" indent="1"/>
    </xf>
    <xf numFmtId="179" fontId="0" fillId="12" borderId="4" xfId="0" applyNumberFormat="1" applyFill="1" applyBorder="1" applyAlignment="1">
      <alignment horizontal="left" vertical="center" wrapText="1" indent="1"/>
    </xf>
    <xf numFmtId="179" fontId="0" fillId="12" borderId="7" xfId="0" applyNumberFormat="1" applyFill="1" applyBorder="1" applyAlignment="1">
      <alignment horizontal="left" vertical="center" wrapText="1" indent="1"/>
    </xf>
    <xf numFmtId="180" fontId="20" fillId="12" borderId="8" xfId="0" applyNumberFormat="1" applyFont="1" applyFill="1" applyBorder="1" applyAlignment="1">
      <alignment horizontal="center" vertical="center"/>
    </xf>
    <xf numFmtId="180" fontId="20" fillId="12" borderId="0" xfId="0" applyNumberFormat="1" applyFont="1" applyFill="1" applyAlignment="1">
      <alignment horizontal="center" vertical="center"/>
    </xf>
    <xf numFmtId="180" fontId="20" fillId="12" borderId="1" xfId="0" applyNumberFormat="1" applyFont="1" applyFill="1" applyBorder="1" applyAlignment="1">
      <alignment horizontal="center" vertical="center"/>
    </xf>
    <xf numFmtId="0" fontId="21" fillId="13" borderId="9" xfId="0" applyFont="1" applyFill="1" applyBorder="1" applyAlignment="1">
      <alignment horizontal="center" vertical="center" shrinkToFit="1"/>
    </xf>
    <xf numFmtId="0" fontId="0" fillId="0" borderId="10" xfId="0" applyBorder="1" applyAlignment="1">
      <alignment vertical="center"/>
    </xf>
    <xf numFmtId="0" fontId="0" fillId="11" borderId="10" xfId="0" applyFill="1" applyBorder="1" applyAlignment="1">
      <alignment vertical="center"/>
    </xf>
    <xf numFmtId="0" fontId="0" fillId="0" borderId="10" xfId="0" applyBorder="1" applyAlignment="1">
      <alignment horizontal="right" vertical="center"/>
    </xf>
  </cellXfs>
  <cellStyles count="54">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Date" xfId="49"/>
    <cellStyle name="Name" xfId="50"/>
    <cellStyle name="Project Start" xfId="51"/>
    <cellStyle name="Task" xfId="52"/>
    <cellStyle name="zHiddenText" xfId="53"/>
  </cellStyles>
  <dxfs count="12">
    <dxf>
      <border>
        <left style="thin">
          <color rgb="FFC00000"/>
        </left>
        <right style="thin">
          <color rgb="FFC00000"/>
        </right>
      </border>
    </dxf>
    <dxf>
      <fill>
        <patternFill patternType="solid">
          <bgColor theme="0" tint="-0.349986266670736"/>
        </patternFill>
      </fill>
    </dxf>
    <dxf>
      <fill>
        <patternFill patternType="solid">
          <bgColor theme="7"/>
        </patternFill>
      </fill>
      <border>
        <left/>
        <right/>
      </border>
    </dxf>
    <dxf>
      <border>
        <left style="thin">
          <color theme="0" tint="-0.249946592608417"/>
        </left>
      </border>
    </dxf>
    <dxf>
      <border>
        <left style="thin">
          <color theme="0" tint="-0.249946592608417"/>
        </left>
      </border>
    </dxf>
    <dxf>
      <border>
        <top style="thin">
          <color theme="4" tint="0.399945066682943"/>
        </top>
      </border>
    </dxf>
    <dxf>
      <fill>
        <patternFill patternType="solid">
          <bgColor theme="0" tint="-0.0499893185216834"/>
        </patternFill>
      </fill>
      <border>
        <top style="thin">
          <color theme="4" tint="0.399945066682943"/>
        </top>
      </border>
    </dxf>
    <dxf>
      <font>
        <b val="1"/>
        <color theme="1"/>
      </font>
    </dxf>
    <dxf>
      <font>
        <b val="0"/>
        <i val="0"/>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CA0EA347-2D21-4852-BD36-719C26AFC4CA}">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00215881"/>
      <color rgb="0042648A"/>
      <color rgb="00969696"/>
      <color rgb="00C0C0C0"/>
      <color rgb="00427FC2"/>
      <color rgb="0044678E"/>
      <color rgb="004A6F9C"/>
      <color rgb="003969AD"/>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xdr:cNvPr>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5" Type="http://schemas.openxmlformats.org/officeDocument/2006/relationships/hyperlink" Target="https://www.vertex42.com/ExcelTemplates/simple-gantt-chart.html?utm_source=ms&amp;utm_medium=file&amp;utm_campaign=office&amp;utm_content=text" TargetMode="External"/><Relationship Id="rId4"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2" Type="http://schemas.openxmlformats.org/officeDocument/2006/relationships/hyperlink" Target="https://www.vertex42.com/ExcelTemplates/excel-project-management.html?utm_source=ms&amp;utm_medium=file&amp;utm_campaign=office&amp;utm_content=text"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BL36"/>
  <sheetViews>
    <sheetView showGridLines="0" tabSelected="1" zoomScalePageLayoutView="70" showRuler="0" workbookViewId="0">
      <pane ySplit="6" topLeftCell="A12" activePane="bottomLeft" state="frozen"/>
      <selection/>
      <selection pane="bottomLeft" activeCell="D18" sqref="D18"/>
    </sheetView>
  </sheetViews>
  <sheetFormatPr defaultColWidth="9" defaultRowHeight="30" customHeight="1"/>
  <cols>
    <col min="1" max="1" width="2.66666666666667" style="13" customWidth="1"/>
    <col min="2" max="2" width="32.2222222222222" customWidth="1"/>
    <col min="3" max="3" width="30.6666666666667" customWidth="1"/>
    <col min="4" max="4" width="10.6666666666667" customWidth="1"/>
    <col min="5" max="5" width="10.4444444444444" style="14" customWidth="1"/>
    <col min="6" max="6" width="10.4444444444444" customWidth="1"/>
    <col min="7" max="7" width="2.66666666666667" customWidth="1"/>
    <col min="8" max="8" width="6.11111111111111" hidden="1" customWidth="1"/>
    <col min="9" max="64" width="2.55555555555556" customWidth="1"/>
    <col min="69" max="70" width="10.3333333333333"/>
  </cols>
  <sheetData>
    <row r="1" customHeight="1" spans="1:9">
      <c r="A1" s="15" t="s">
        <v>0</v>
      </c>
      <c r="B1" s="16" t="s">
        <v>1</v>
      </c>
      <c r="C1" s="17"/>
      <c r="D1" s="5"/>
      <c r="E1" s="18"/>
      <c r="F1" s="19"/>
      <c r="H1" s="5"/>
      <c r="I1" s="89" t="s">
        <v>2</v>
      </c>
    </row>
    <row r="2" customHeight="1" spans="1:9">
      <c r="A2" s="13" t="s">
        <v>3</v>
      </c>
      <c r="B2" s="20" t="s">
        <v>4</v>
      </c>
      <c r="I2" s="92" t="s">
        <v>5</v>
      </c>
    </row>
    <row r="3" customHeight="1" spans="1:6">
      <c r="A3" s="13" t="s">
        <v>6</v>
      </c>
      <c r="B3" s="21" t="s">
        <v>7</v>
      </c>
      <c r="C3" s="22" t="s">
        <v>8</v>
      </c>
      <c r="D3" s="23"/>
      <c r="E3" s="24">
        <f ca="1">TODAY()</f>
        <v>46073</v>
      </c>
      <c r="F3" s="24"/>
    </row>
    <row r="4" customHeight="1" spans="1:64">
      <c r="A4" s="15" t="s">
        <v>9</v>
      </c>
      <c r="C4" s="22" t="s">
        <v>10</v>
      </c>
      <c r="D4" s="23"/>
      <c r="E4" s="25">
        <v>1</v>
      </c>
      <c r="I4" s="93">
        <f ca="1">I5</f>
        <v>46069</v>
      </c>
      <c r="J4" s="94"/>
      <c r="K4" s="94"/>
      <c r="L4" s="94"/>
      <c r="M4" s="94"/>
      <c r="N4" s="94"/>
      <c r="O4" s="95"/>
      <c r="P4" s="93">
        <f ca="1">P5</f>
        <v>46076</v>
      </c>
      <c r="Q4" s="94"/>
      <c r="R4" s="94"/>
      <c r="S4" s="94"/>
      <c r="T4" s="94"/>
      <c r="U4" s="94"/>
      <c r="V4" s="95"/>
      <c r="W4" s="93">
        <f ca="1">W5</f>
        <v>46083</v>
      </c>
      <c r="X4" s="94"/>
      <c r="Y4" s="94"/>
      <c r="Z4" s="94"/>
      <c r="AA4" s="94"/>
      <c r="AB4" s="94"/>
      <c r="AC4" s="95"/>
      <c r="AD4" s="93">
        <f ca="1">AD5</f>
        <v>46090</v>
      </c>
      <c r="AE4" s="94"/>
      <c r="AF4" s="94"/>
      <c r="AG4" s="94"/>
      <c r="AH4" s="94"/>
      <c r="AI4" s="94"/>
      <c r="AJ4" s="95"/>
      <c r="AK4" s="93">
        <f ca="1">AK5</f>
        <v>46097</v>
      </c>
      <c r="AL4" s="94"/>
      <c r="AM4" s="94"/>
      <c r="AN4" s="94"/>
      <c r="AO4" s="94"/>
      <c r="AP4" s="94"/>
      <c r="AQ4" s="95"/>
      <c r="AR4" s="93">
        <f ca="1">AR5</f>
        <v>46104</v>
      </c>
      <c r="AS4" s="94"/>
      <c r="AT4" s="94"/>
      <c r="AU4" s="94"/>
      <c r="AV4" s="94"/>
      <c r="AW4" s="94"/>
      <c r="AX4" s="95"/>
      <c r="AY4" s="93">
        <f ca="1">AY5</f>
        <v>46111</v>
      </c>
      <c r="AZ4" s="94"/>
      <c r="BA4" s="94"/>
      <c r="BB4" s="94"/>
      <c r="BC4" s="94"/>
      <c r="BD4" s="94"/>
      <c r="BE4" s="95"/>
      <c r="BF4" s="93">
        <f ca="1">BF5</f>
        <v>46118</v>
      </c>
      <c r="BG4" s="94"/>
      <c r="BH4" s="94"/>
      <c r="BI4" s="94"/>
      <c r="BJ4" s="94"/>
      <c r="BK4" s="94"/>
      <c r="BL4" s="95"/>
    </row>
    <row r="5" ht="15" customHeight="1" spans="1:64">
      <c r="A5" s="15" t="s">
        <v>11</v>
      </c>
      <c r="B5" s="26"/>
      <c r="C5" s="26"/>
      <c r="D5" s="26"/>
      <c r="E5" s="26"/>
      <c r="F5" s="26"/>
      <c r="G5" s="26"/>
      <c r="I5" s="96">
        <f ca="1">Project_Start-WEEKDAY(Project_Start,1)+2+7*(Display_Week-1)</f>
        <v>46069</v>
      </c>
      <c r="J5" s="97">
        <f ca="1">I5+1</f>
        <v>46070</v>
      </c>
      <c r="K5" s="97">
        <f ca="1" t="shared" ref="K5:AZ5" si="0">J5+1</f>
        <v>46071</v>
      </c>
      <c r="L5" s="97">
        <f ca="1" t="shared" si="0"/>
        <v>46072</v>
      </c>
      <c r="M5" s="97">
        <f ca="1" t="shared" si="0"/>
        <v>46073</v>
      </c>
      <c r="N5" s="97">
        <f ca="1" t="shared" si="0"/>
        <v>46074</v>
      </c>
      <c r="O5" s="98">
        <f ca="1" t="shared" si="0"/>
        <v>46075</v>
      </c>
      <c r="P5" s="96">
        <f ca="1" t="shared" si="0"/>
        <v>46076</v>
      </c>
      <c r="Q5" s="97">
        <f ca="1" t="shared" si="0"/>
        <v>46077</v>
      </c>
      <c r="R5" s="97">
        <f ca="1" t="shared" si="0"/>
        <v>46078</v>
      </c>
      <c r="S5" s="97">
        <f ca="1" t="shared" si="0"/>
        <v>46079</v>
      </c>
      <c r="T5" s="97">
        <f ca="1" t="shared" si="0"/>
        <v>46080</v>
      </c>
      <c r="U5" s="97">
        <f ca="1" t="shared" si="0"/>
        <v>46081</v>
      </c>
      <c r="V5" s="98">
        <f ca="1" t="shared" si="0"/>
        <v>46082</v>
      </c>
      <c r="W5" s="96">
        <f ca="1" t="shared" si="0"/>
        <v>46083</v>
      </c>
      <c r="X5" s="97">
        <f ca="1" t="shared" si="0"/>
        <v>46084</v>
      </c>
      <c r="Y5" s="97">
        <f ca="1" t="shared" si="0"/>
        <v>46085</v>
      </c>
      <c r="Z5" s="97">
        <f ca="1" t="shared" si="0"/>
        <v>46086</v>
      </c>
      <c r="AA5" s="97">
        <f ca="1" t="shared" si="0"/>
        <v>46087</v>
      </c>
      <c r="AB5" s="97">
        <f ca="1" t="shared" si="0"/>
        <v>46088</v>
      </c>
      <c r="AC5" s="98">
        <f ca="1" t="shared" si="0"/>
        <v>46089</v>
      </c>
      <c r="AD5" s="96">
        <f ca="1" t="shared" si="0"/>
        <v>46090</v>
      </c>
      <c r="AE5" s="97">
        <f ca="1" t="shared" si="0"/>
        <v>46091</v>
      </c>
      <c r="AF5" s="97">
        <f ca="1" t="shared" si="0"/>
        <v>46092</v>
      </c>
      <c r="AG5" s="97">
        <f ca="1" t="shared" si="0"/>
        <v>46093</v>
      </c>
      <c r="AH5" s="97">
        <f ca="1" t="shared" si="0"/>
        <v>46094</v>
      </c>
      <c r="AI5" s="97">
        <f ca="1" t="shared" si="0"/>
        <v>46095</v>
      </c>
      <c r="AJ5" s="98">
        <f ca="1" t="shared" si="0"/>
        <v>46096</v>
      </c>
      <c r="AK5" s="96">
        <f ca="1" t="shared" si="0"/>
        <v>46097</v>
      </c>
      <c r="AL5" s="97">
        <f ca="1" t="shared" si="0"/>
        <v>46098</v>
      </c>
      <c r="AM5" s="97">
        <f ca="1" t="shared" si="0"/>
        <v>46099</v>
      </c>
      <c r="AN5" s="97">
        <f ca="1" t="shared" si="0"/>
        <v>46100</v>
      </c>
      <c r="AO5" s="97">
        <f ca="1" t="shared" si="0"/>
        <v>46101</v>
      </c>
      <c r="AP5" s="97">
        <f ca="1" t="shared" si="0"/>
        <v>46102</v>
      </c>
      <c r="AQ5" s="98">
        <f ca="1" t="shared" si="0"/>
        <v>46103</v>
      </c>
      <c r="AR5" s="96">
        <f ca="1" t="shared" si="0"/>
        <v>46104</v>
      </c>
      <c r="AS5" s="97">
        <f ca="1" t="shared" si="0"/>
        <v>46105</v>
      </c>
      <c r="AT5" s="97">
        <f ca="1" t="shared" si="0"/>
        <v>46106</v>
      </c>
      <c r="AU5" s="97">
        <f ca="1" t="shared" si="0"/>
        <v>46107</v>
      </c>
      <c r="AV5" s="97">
        <f ca="1" t="shared" si="0"/>
        <v>46108</v>
      </c>
      <c r="AW5" s="97">
        <f ca="1" t="shared" si="0"/>
        <v>46109</v>
      </c>
      <c r="AX5" s="98">
        <f ca="1" t="shared" si="0"/>
        <v>46110</v>
      </c>
      <c r="AY5" s="96">
        <f ca="1" t="shared" si="0"/>
        <v>46111</v>
      </c>
      <c r="AZ5" s="97">
        <f ca="1" t="shared" si="0"/>
        <v>46112</v>
      </c>
      <c r="BA5" s="97">
        <f ca="1" t="shared" ref="BA5:BG5" si="1">AZ5+1</f>
        <v>46113</v>
      </c>
      <c r="BB5" s="97">
        <f ca="1" t="shared" si="1"/>
        <v>46114</v>
      </c>
      <c r="BC5" s="97">
        <f ca="1" t="shared" si="1"/>
        <v>46115</v>
      </c>
      <c r="BD5" s="97">
        <f ca="1" t="shared" si="1"/>
        <v>46116</v>
      </c>
      <c r="BE5" s="98">
        <f ca="1" t="shared" si="1"/>
        <v>46117</v>
      </c>
      <c r="BF5" s="96">
        <f ca="1" t="shared" si="1"/>
        <v>46118</v>
      </c>
      <c r="BG5" s="97">
        <f ca="1" t="shared" si="1"/>
        <v>46119</v>
      </c>
      <c r="BH5" s="97">
        <f ca="1" t="shared" ref="BH5:BL5" si="2">BG5+1</f>
        <v>46120</v>
      </c>
      <c r="BI5" s="97">
        <f ca="1" t="shared" si="2"/>
        <v>46121</v>
      </c>
      <c r="BJ5" s="97">
        <f ca="1" t="shared" si="2"/>
        <v>46122</v>
      </c>
      <c r="BK5" s="97">
        <f ca="1" t="shared" si="2"/>
        <v>46123</v>
      </c>
      <c r="BL5" s="98">
        <f ca="1" t="shared" si="2"/>
        <v>46124</v>
      </c>
    </row>
    <row r="6" customHeight="1" spans="1:64">
      <c r="A6" s="15" t="s">
        <v>12</v>
      </c>
      <c r="B6" s="27" t="s">
        <v>13</v>
      </c>
      <c r="C6" s="28" t="s">
        <v>14</v>
      </c>
      <c r="D6" s="28" t="s">
        <v>15</v>
      </c>
      <c r="E6" s="28" t="s">
        <v>16</v>
      </c>
      <c r="F6" s="28" t="s">
        <v>17</v>
      </c>
      <c r="G6" s="28"/>
      <c r="H6" s="28" t="s">
        <v>18</v>
      </c>
      <c r="I6" s="99" t="str">
        <f ca="1" t="shared" ref="I6" si="3">LEFT(TEXT(I5,"ddd"),1)</f>
        <v>M</v>
      </c>
      <c r="J6" s="99" t="str">
        <f ca="1" t="shared" ref="J6:AR6" si="4">LEFT(TEXT(J5,"ddd"),1)</f>
        <v>T</v>
      </c>
      <c r="K6" s="99" t="str">
        <f ca="1" t="shared" si="4"/>
        <v>W</v>
      </c>
      <c r="L6" s="99" t="str">
        <f ca="1" t="shared" si="4"/>
        <v>T</v>
      </c>
      <c r="M6" s="99" t="str">
        <f ca="1" t="shared" si="4"/>
        <v>F</v>
      </c>
      <c r="N6" s="99" t="str">
        <f ca="1" t="shared" si="4"/>
        <v>S</v>
      </c>
      <c r="O6" s="99" t="str">
        <f ca="1" t="shared" si="4"/>
        <v>S</v>
      </c>
      <c r="P6" s="99" t="str">
        <f ca="1" t="shared" si="4"/>
        <v>M</v>
      </c>
      <c r="Q6" s="99" t="str">
        <f ca="1" t="shared" si="4"/>
        <v>T</v>
      </c>
      <c r="R6" s="99" t="str">
        <f ca="1" t="shared" si="4"/>
        <v>W</v>
      </c>
      <c r="S6" s="99" t="str">
        <f ca="1" t="shared" si="4"/>
        <v>T</v>
      </c>
      <c r="T6" s="99" t="str">
        <f ca="1" t="shared" si="4"/>
        <v>F</v>
      </c>
      <c r="U6" s="99" t="str">
        <f ca="1" t="shared" si="4"/>
        <v>S</v>
      </c>
      <c r="V6" s="99" t="str">
        <f ca="1" t="shared" si="4"/>
        <v>S</v>
      </c>
      <c r="W6" s="99" t="str">
        <f ca="1" t="shared" si="4"/>
        <v>M</v>
      </c>
      <c r="X6" s="99" t="str">
        <f ca="1" t="shared" si="4"/>
        <v>T</v>
      </c>
      <c r="Y6" s="99" t="str">
        <f ca="1" t="shared" si="4"/>
        <v>W</v>
      </c>
      <c r="Z6" s="99" t="str">
        <f ca="1" t="shared" si="4"/>
        <v>T</v>
      </c>
      <c r="AA6" s="99" t="str">
        <f ca="1" t="shared" si="4"/>
        <v>F</v>
      </c>
      <c r="AB6" s="99" t="str">
        <f ca="1" t="shared" si="4"/>
        <v>S</v>
      </c>
      <c r="AC6" s="99" t="str">
        <f ca="1" t="shared" si="4"/>
        <v>S</v>
      </c>
      <c r="AD6" s="99" t="str">
        <f ca="1" t="shared" si="4"/>
        <v>M</v>
      </c>
      <c r="AE6" s="99" t="str">
        <f ca="1" t="shared" si="4"/>
        <v>T</v>
      </c>
      <c r="AF6" s="99" t="str">
        <f ca="1" t="shared" si="4"/>
        <v>W</v>
      </c>
      <c r="AG6" s="99" t="str">
        <f ca="1" t="shared" si="4"/>
        <v>T</v>
      </c>
      <c r="AH6" s="99" t="str">
        <f ca="1" t="shared" si="4"/>
        <v>F</v>
      </c>
      <c r="AI6" s="99" t="str">
        <f ca="1" t="shared" si="4"/>
        <v>S</v>
      </c>
      <c r="AJ6" s="99" t="str">
        <f ca="1" t="shared" si="4"/>
        <v>S</v>
      </c>
      <c r="AK6" s="99" t="str">
        <f ca="1" t="shared" si="4"/>
        <v>M</v>
      </c>
      <c r="AL6" s="99" t="str">
        <f ca="1" t="shared" si="4"/>
        <v>T</v>
      </c>
      <c r="AM6" s="99" t="str">
        <f ca="1" t="shared" si="4"/>
        <v>W</v>
      </c>
      <c r="AN6" s="99" t="str">
        <f ca="1" t="shared" si="4"/>
        <v>T</v>
      </c>
      <c r="AO6" s="99" t="str">
        <f ca="1" t="shared" si="4"/>
        <v>F</v>
      </c>
      <c r="AP6" s="99" t="str">
        <f ca="1" t="shared" si="4"/>
        <v>S</v>
      </c>
      <c r="AQ6" s="99" t="str">
        <f ca="1" t="shared" si="4"/>
        <v>S</v>
      </c>
      <c r="AR6" s="99" t="str">
        <f ca="1" t="shared" si="4"/>
        <v>M</v>
      </c>
      <c r="AS6" s="99" t="str">
        <f ca="1" t="shared" ref="AS6:BL6" si="5">LEFT(TEXT(AS5,"ddd"),1)</f>
        <v>T</v>
      </c>
      <c r="AT6" s="99" t="str">
        <f ca="1" t="shared" si="5"/>
        <v>W</v>
      </c>
      <c r="AU6" s="99" t="str">
        <f ca="1" t="shared" si="5"/>
        <v>T</v>
      </c>
      <c r="AV6" s="99" t="str">
        <f ca="1" t="shared" si="5"/>
        <v>F</v>
      </c>
      <c r="AW6" s="99" t="str">
        <f ca="1" t="shared" si="5"/>
        <v>S</v>
      </c>
      <c r="AX6" s="99" t="str">
        <f ca="1" t="shared" si="5"/>
        <v>S</v>
      </c>
      <c r="AY6" s="99" t="str">
        <f ca="1" t="shared" si="5"/>
        <v>M</v>
      </c>
      <c r="AZ6" s="99" t="str">
        <f ca="1" t="shared" si="5"/>
        <v>T</v>
      </c>
      <c r="BA6" s="99" t="str">
        <f ca="1" t="shared" si="5"/>
        <v>W</v>
      </c>
      <c r="BB6" s="99" t="str">
        <f ca="1" t="shared" si="5"/>
        <v>T</v>
      </c>
      <c r="BC6" s="99" t="str">
        <f ca="1" t="shared" si="5"/>
        <v>F</v>
      </c>
      <c r="BD6" s="99" t="str">
        <f ca="1" t="shared" si="5"/>
        <v>S</v>
      </c>
      <c r="BE6" s="99" t="str">
        <f ca="1" t="shared" si="5"/>
        <v>S</v>
      </c>
      <c r="BF6" s="99" t="str">
        <f ca="1" t="shared" si="5"/>
        <v>M</v>
      </c>
      <c r="BG6" s="99" t="str">
        <f ca="1" t="shared" si="5"/>
        <v>T</v>
      </c>
      <c r="BH6" s="99" t="str">
        <f ca="1" t="shared" si="5"/>
        <v>W</v>
      </c>
      <c r="BI6" s="99" t="str">
        <f ca="1" t="shared" si="5"/>
        <v>T</v>
      </c>
      <c r="BJ6" s="99" t="str">
        <f ca="1" t="shared" si="5"/>
        <v>F</v>
      </c>
      <c r="BK6" s="99" t="str">
        <f ca="1" t="shared" si="5"/>
        <v>S</v>
      </c>
      <c r="BL6" s="99" t="str">
        <f ca="1" t="shared" si="5"/>
        <v>S</v>
      </c>
    </row>
    <row r="7" hidden="1" customHeight="1" spans="1:64">
      <c r="A7" s="13" t="s">
        <v>19</v>
      </c>
      <c r="C7" s="29"/>
      <c r="E7"/>
      <c r="H7" t="str">
        <f>IF(OR(ISBLANK(task_start),ISBLANK(task_end)),"",task_end-task_start+1)</f>
        <v/>
      </c>
      <c r="I7" s="100"/>
      <c r="J7" s="100"/>
      <c r="K7" s="100"/>
      <c r="L7" s="100"/>
      <c r="M7" s="100"/>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row>
    <row r="8" s="12" customFormat="1" customHeight="1" spans="1:64">
      <c r="A8" s="15" t="s">
        <v>20</v>
      </c>
      <c r="B8" s="30" t="s">
        <v>21</v>
      </c>
      <c r="C8" s="31"/>
      <c r="D8" s="32"/>
      <c r="E8" s="33"/>
      <c r="F8" s="34"/>
      <c r="G8" s="35"/>
      <c r="H8" s="35" t="str">
        <f t="shared" ref="H8:H33" si="6">IF(OR(ISBLANK(task_start),ISBLANK(task_end)),"",task_end-task_start+1)</f>
        <v/>
      </c>
      <c r="I8" s="100"/>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0"/>
      <c r="BK8" s="100"/>
      <c r="BL8" s="100"/>
    </row>
    <row r="9" s="12" customFormat="1" customHeight="1" spans="1:64">
      <c r="A9" s="15" t="s">
        <v>22</v>
      </c>
      <c r="B9" s="36" t="s">
        <v>23</v>
      </c>
      <c r="C9" s="37"/>
      <c r="D9" s="38">
        <v>1</v>
      </c>
      <c r="E9" s="39">
        <f ca="1">Project_Start</f>
        <v>46073</v>
      </c>
      <c r="F9" s="39">
        <f ca="1">E9+3</f>
        <v>46076</v>
      </c>
      <c r="G9" s="35"/>
      <c r="H9" s="35">
        <f ca="1" t="shared" si="6"/>
        <v>4</v>
      </c>
      <c r="I9" s="100"/>
      <c r="J9" s="100"/>
      <c r="K9" s="100"/>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row>
    <row r="10" s="12" customFormat="1" customHeight="1" spans="1:64">
      <c r="A10" s="15" t="s">
        <v>24</v>
      </c>
      <c r="B10" s="40" t="s">
        <v>25</v>
      </c>
      <c r="C10" s="41" t="s">
        <v>26</v>
      </c>
      <c r="D10" s="38">
        <v>1</v>
      </c>
      <c r="E10" s="39">
        <v>46065</v>
      </c>
      <c r="F10" s="39">
        <v>46066</v>
      </c>
      <c r="G10" s="35"/>
      <c r="H10" s="35">
        <f t="shared" si="6"/>
        <v>2</v>
      </c>
      <c r="I10" s="100"/>
      <c r="J10" s="100"/>
      <c r="K10" s="100"/>
      <c r="L10" s="100"/>
      <c r="M10" s="100"/>
      <c r="N10" s="100"/>
      <c r="O10" s="100"/>
      <c r="P10" s="100"/>
      <c r="Q10" s="100"/>
      <c r="R10" s="100"/>
      <c r="S10" s="100"/>
      <c r="T10" s="100"/>
      <c r="U10" s="102"/>
      <c r="V10" s="102"/>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row>
    <row r="11" s="12" customFormat="1" customHeight="1" spans="1:64">
      <c r="A11" s="13"/>
      <c r="B11" s="40" t="s">
        <v>27</v>
      </c>
      <c r="C11" s="41" t="s">
        <v>26</v>
      </c>
      <c r="D11" s="38">
        <v>1</v>
      </c>
      <c r="E11" s="39">
        <f>F10</f>
        <v>46066</v>
      </c>
      <c r="F11" s="39">
        <f>E11+4</f>
        <v>46070</v>
      </c>
      <c r="G11" s="35"/>
      <c r="H11" s="35">
        <f t="shared" si="6"/>
        <v>5</v>
      </c>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row>
    <row r="12" s="12" customFormat="1" customHeight="1" spans="1:64">
      <c r="A12" s="13"/>
      <c r="B12" s="40" t="s">
        <v>28</v>
      </c>
      <c r="C12" s="41" t="s">
        <v>29</v>
      </c>
      <c r="D12" s="38">
        <v>1</v>
      </c>
      <c r="E12" s="39">
        <f>F11</f>
        <v>46070</v>
      </c>
      <c r="F12" s="39">
        <f>E12+5</f>
        <v>46075</v>
      </c>
      <c r="G12" s="35"/>
      <c r="H12" s="35">
        <f t="shared" si="6"/>
        <v>6</v>
      </c>
      <c r="I12" s="100"/>
      <c r="J12" s="100"/>
      <c r="K12" s="100"/>
      <c r="L12" s="100"/>
      <c r="M12" s="100"/>
      <c r="N12" s="100"/>
      <c r="O12" s="100"/>
      <c r="P12" s="100"/>
      <c r="Q12" s="100"/>
      <c r="R12" s="100"/>
      <c r="S12" s="100"/>
      <c r="T12" s="100"/>
      <c r="U12" s="100"/>
      <c r="V12" s="100"/>
      <c r="W12" s="100"/>
      <c r="X12" s="100"/>
      <c r="Y12" s="102"/>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row>
    <row r="13" s="12" customFormat="1" customHeight="1" spans="1:64">
      <c r="A13" s="13"/>
      <c r="B13" s="40" t="s">
        <v>30</v>
      </c>
      <c r="C13" s="41" t="s">
        <v>31</v>
      </c>
      <c r="D13" s="38">
        <v>1</v>
      </c>
      <c r="E13" s="39">
        <f>E10+1</f>
        <v>46066</v>
      </c>
      <c r="F13" s="39">
        <f>E13+2</f>
        <v>46068</v>
      </c>
      <c r="G13" s="35"/>
      <c r="H13" s="35">
        <f t="shared" si="6"/>
        <v>3</v>
      </c>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row>
    <row r="14" s="12" customFormat="1" customHeight="1" spans="1:64">
      <c r="A14" s="15" t="s">
        <v>32</v>
      </c>
      <c r="B14" s="42" t="s">
        <v>33</v>
      </c>
      <c r="C14" s="43"/>
      <c r="D14" s="44"/>
      <c r="E14" s="45"/>
      <c r="F14" s="46"/>
      <c r="G14" s="35"/>
      <c r="H14" s="35" t="str">
        <f t="shared" si="6"/>
        <v/>
      </c>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row>
    <row r="15" s="12" customFormat="1" customHeight="1" spans="1:64">
      <c r="A15" s="15"/>
      <c r="B15" s="47" t="s">
        <v>34</v>
      </c>
      <c r="C15" s="48" t="s">
        <v>26</v>
      </c>
      <c r="D15" s="49">
        <v>1</v>
      </c>
      <c r="E15" s="50">
        <v>46066</v>
      </c>
      <c r="F15" s="50">
        <v>46072</v>
      </c>
      <c r="G15" s="35"/>
      <c r="H15" s="35">
        <f t="shared" si="6"/>
        <v>7</v>
      </c>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row>
    <row r="16" s="12" customFormat="1" customHeight="1" spans="1:64">
      <c r="A16" s="13"/>
      <c r="B16" s="47" t="s">
        <v>35</v>
      </c>
      <c r="C16" s="48" t="s">
        <v>26</v>
      </c>
      <c r="D16" s="49">
        <v>1</v>
      </c>
      <c r="E16" s="50">
        <v>46066</v>
      </c>
      <c r="F16" s="50">
        <v>46073</v>
      </c>
      <c r="G16" s="35"/>
      <c r="H16" s="35">
        <f t="shared" si="6"/>
        <v>8</v>
      </c>
      <c r="I16" s="100"/>
      <c r="J16" s="100"/>
      <c r="K16" s="100"/>
      <c r="L16" s="100"/>
      <c r="M16" s="100"/>
      <c r="N16" s="100"/>
      <c r="O16" s="100"/>
      <c r="P16" s="100"/>
      <c r="Q16" s="100"/>
      <c r="R16" s="100"/>
      <c r="S16" s="100"/>
      <c r="T16" s="100"/>
      <c r="U16" s="102"/>
      <c r="V16" s="102"/>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row>
    <row r="17" s="12" customFormat="1" customHeight="1" spans="1:64">
      <c r="A17" s="13"/>
      <c r="B17" s="47" t="s">
        <v>36</v>
      </c>
      <c r="C17" s="48" t="s">
        <v>26</v>
      </c>
      <c r="D17" s="49">
        <v>1</v>
      </c>
      <c r="E17" s="50">
        <v>46066</v>
      </c>
      <c r="F17" s="50">
        <v>46073</v>
      </c>
      <c r="G17" s="35"/>
      <c r="H17" s="35">
        <f t="shared" si="6"/>
        <v>8</v>
      </c>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row>
    <row r="18" s="12" customFormat="1" customHeight="1" spans="1:64">
      <c r="A18" s="13"/>
      <c r="B18" s="47" t="s">
        <v>37</v>
      </c>
      <c r="C18" s="48" t="s">
        <v>26</v>
      </c>
      <c r="D18" s="49">
        <v>1</v>
      </c>
      <c r="E18" s="50">
        <v>46066</v>
      </c>
      <c r="F18" s="50">
        <v>46072</v>
      </c>
      <c r="G18" s="35"/>
      <c r="H18" s="35">
        <f t="shared" si="6"/>
        <v>7</v>
      </c>
      <c r="I18" s="100"/>
      <c r="J18" s="100"/>
      <c r="K18" s="100"/>
      <c r="L18" s="100"/>
      <c r="M18" s="100"/>
      <c r="N18" s="100"/>
      <c r="O18" s="100"/>
      <c r="P18" s="100"/>
      <c r="Q18" s="100"/>
      <c r="R18" s="100"/>
      <c r="S18" s="100"/>
      <c r="T18" s="100"/>
      <c r="U18" s="100"/>
      <c r="V18" s="100"/>
      <c r="W18" s="100"/>
      <c r="X18" s="100"/>
      <c r="Y18" s="102"/>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row>
    <row r="19" s="12" customFormat="1" customHeight="1" spans="1:64">
      <c r="A19" s="13"/>
      <c r="B19" s="51"/>
      <c r="C19" s="52"/>
      <c r="D19" s="53"/>
      <c r="E19" s="50"/>
      <c r="F19" s="50"/>
      <c r="G19" s="35"/>
      <c r="H19" s="35" t="str">
        <f t="shared" si="6"/>
        <v/>
      </c>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row>
    <row r="20" s="12" customFormat="1" customHeight="1" spans="1:64">
      <c r="A20" s="13" t="s">
        <v>38</v>
      </c>
      <c r="B20" s="54" t="s">
        <v>39</v>
      </c>
      <c r="C20" s="55"/>
      <c r="D20" s="56"/>
      <c r="E20" s="57"/>
      <c r="F20" s="58"/>
      <c r="G20" s="35"/>
      <c r="H20" s="35" t="str">
        <f t="shared" si="6"/>
        <v/>
      </c>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row>
    <row r="21" s="12" customFormat="1" customHeight="1" spans="1:64">
      <c r="A21" s="13"/>
      <c r="B21" s="59" t="s">
        <v>40</v>
      </c>
      <c r="C21" s="60" t="s">
        <v>29</v>
      </c>
      <c r="D21" s="61"/>
      <c r="E21" s="62">
        <v>46073</v>
      </c>
      <c r="F21" s="62">
        <v>46076</v>
      </c>
      <c r="G21" s="35"/>
      <c r="H21" s="35">
        <f t="shared" si="6"/>
        <v>4</v>
      </c>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row>
    <row r="22" s="12" customFormat="1" customHeight="1" spans="1:64">
      <c r="A22" s="13"/>
      <c r="B22" s="59" t="s">
        <v>41</v>
      </c>
      <c r="C22" s="60" t="s">
        <v>29</v>
      </c>
      <c r="D22" s="61"/>
      <c r="E22" s="62">
        <v>46077</v>
      </c>
      <c r="F22" s="62">
        <v>46077</v>
      </c>
      <c r="G22" s="35"/>
      <c r="H22" s="35">
        <f t="shared" si="6"/>
        <v>1</v>
      </c>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row>
    <row r="23" s="12" customFormat="1" customHeight="1" spans="1:64">
      <c r="A23" s="13"/>
      <c r="B23" s="59" t="s">
        <v>42</v>
      </c>
      <c r="C23" s="60" t="s">
        <v>31</v>
      </c>
      <c r="D23" s="61"/>
      <c r="E23" s="62">
        <v>46077</v>
      </c>
      <c r="F23" s="63">
        <v>46082</v>
      </c>
      <c r="G23" s="35"/>
      <c r="H23" s="35">
        <f t="shared" si="6"/>
        <v>6</v>
      </c>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row>
    <row r="24" s="12" customFormat="1" customHeight="1" spans="1:64">
      <c r="A24" s="13"/>
      <c r="B24" s="64"/>
      <c r="C24" s="65"/>
      <c r="D24" s="61"/>
      <c r="E24" s="62"/>
      <c r="F24" s="62"/>
      <c r="G24" s="35"/>
      <c r="H24" s="35" t="str">
        <f t="shared" si="6"/>
        <v/>
      </c>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row>
    <row r="25" s="12" customFormat="1" customHeight="1" spans="1:64">
      <c r="A25" s="13"/>
      <c r="B25" s="64"/>
      <c r="C25" s="65"/>
      <c r="D25" s="61"/>
      <c r="E25" s="62"/>
      <c r="F25" s="62"/>
      <c r="G25" s="35"/>
      <c r="H25" s="35" t="str">
        <f t="shared" si="6"/>
        <v/>
      </c>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row>
    <row r="26" s="12" customFormat="1" customHeight="1" spans="1:64">
      <c r="A26" s="13" t="s">
        <v>38</v>
      </c>
      <c r="B26" s="66" t="s">
        <v>43</v>
      </c>
      <c r="C26" s="67"/>
      <c r="D26" s="68"/>
      <c r="E26" s="69"/>
      <c r="F26" s="70"/>
      <c r="G26" s="35"/>
      <c r="H26" s="35" t="str">
        <f t="shared" si="6"/>
        <v/>
      </c>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row>
    <row r="27" s="12" customFormat="1" customHeight="1" spans="1:64">
      <c r="A27" s="13"/>
      <c r="B27" s="71" t="s">
        <v>44</v>
      </c>
      <c r="C27" s="72" t="s">
        <v>29</v>
      </c>
      <c r="D27" s="73"/>
      <c r="E27" s="74">
        <v>46066</v>
      </c>
      <c r="F27" s="74">
        <v>46076</v>
      </c>
      <c r="G27" s="35"/>
      <c r="H27" s="35">
        <f t="shared" si="6"/>
        <v>11</v>
      </c>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row>
    <row r="28" s="12" customFormat="1" customHeight="1" spans="1:64">
      <c r="A28" s="13"/>
      <c r="B28" s="71" t="s">
        <v>45</v>
      </c>
      <c r="C28" s="72" t="s">
        <v>31</v>
      </c>
      <c r="D28" s="73"/>
      <c r="E28" s="74">
        <v>46076</v>
      </c>
      <c r="F28" s="75" t="s">
        <v>46</v>
      </c>
      <c r="G28" s="35"/>
      <c r="H28" s="35" t="e">
        <f t="shared" si="6"/>
        <v>#VALUE!</v>
      </c>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row>
    <row r="29" s="12" customFormat="1" customHeight="1" spans="1:64">
      <c r="A29" s="13"/>
      <c r="B29" s="71" t="s">
        <v>47</v>
      </c>
      <c r="C29" s="72" t="s">
        <v>31</v>
      </c>
      <c r="D29" s="73"/>
      <c r="E29" s="75">
        <v>46082</v>
      </c>
      <c r="F29" s="74">
        <v>46083</v>
      </c>
      <c r="G29" s="35"/>
      <c r="H29" s="35">
        <f t="shared" si="6"/>
        <v>2</v>
      </c>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row>
    <row r="30" s="12" customFormat="1" customHeight="1" spans="1:64">
      <c r="A30" s="13"/>
      <c r="B30" s="71" t="s">
        <v>48</v>
      </c>
      <c r="C30" s="72" t="s">
        <v>29</v>
      </c>
      <c r="D30" s="73"/>
      <c r="E30" s="74">
        <v>46083</v>
      </c>
      <c r="F30" s="74">
        <v>46084</v>
      </c>
      <c r="G30" s="35"/>
      <c r="H30" s="35">
        <f t="shared" si="6"/>
        <v>2</v>
      </c>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row>
    <row r="31" s="12" customFormat="1" customHeight="1" spans="1:64">
      <c r="A31" s="13"/>
      <c r="B31" s="76"/>
      <c r="C31" s="77"/>
      <c r="D31" s="73"/>
      <c r="E31" s="74"/>
      <c r="F31" s="74"/>
      <c r="G31" s="35"/>
      <c r="H31" s="35" t="str">
        <f t="shared" si="6"/>
        <v/>
      </c>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row>
    <row r="32" s="12" customFormat="1" customHeight="1" spans="1:64">
      <c r="A32" s="13" t="s">
        <v>49</v>
      </c>
      <c r="B32" s="78"/>
      <c r="C32" s="79"/>
      <c r="D32" s="80"/>
      <c r="E32" s="81"/>
      <c r="F32" s="81"/>
      <c r="G32" s="35"/>
      <c r="H32" s="35" t="str">
        <f t="shared" si="6"/>
        <v/>
      </c>
      <c r="I32" s="100"/>
      <c r="J32" s="100"/>
      <c r="K32" s="100"/>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row>
    <row r="33" s="12" customFormat="1" customHeight="1" spans="1:64">
      <c r="A33" s="15" t="s">
        <v>50</v>
      </c>
      <c r="B33" s="82" t="s">
        <v>51</v>
      </c>
      <c r="C33" s="83"/>
      <c r="D33" s="84"/>
      <c r="E33" s="85"/>
      <c r="F33" s="86"/>
      <c r="G33" s="87"/>
      <c r="H33" s="87" t="str">
        <f t="shared" si="6"/>
        <v/>
      </c>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row>
    <row r="34" customHeight="1" spans="7:7">
      <c r="G34" s="88"/>
    </row>
    <row r="35" customHeight="1" spans="3:6">
      <c r="C35" s="89"/>
      <c r="F35" s="90"/>
    </row>
    <row r="36" customHeight="1" spans="3:3">
      <c r="C36" s="91"/>
    </row>
  </sheetData>
  <mergeCells count="12">
    <mergeCell ref="C3:D3"/>
    <mergeCell ref="E3:F3"/>
    <mergeCell ref="C4:D4"/>
    <mergeCell ref="I4:O4"/>
    <mergeCell ref="P4:V4"/>
    <mergeCell ref="W4:AC4"/>
    <mergeCell ref="AD4:AJ4"/>
    <mergeCell ref="AK4:AQ4"/>
    <mergeCell ref="AR4:AX4"/>
    <mergeCell ref="AY4:BE4"/>
    <mergeCell ref="BF4:BL4"/>
    <mergeCell ref="B5:G5"/>
  </mergeCells>
  <conditionalFormatting sqref="D7:D33">
    <cfRule type="dataBar" priority="14">
      <dataBar>
        <cfvo type="num" val="0"/>
        <cfvo type="num" val="1"/>
        <color theme="0" tint="-0.249977111117893"/>
      </dataBar>
      <extLst>
        <ext xmlns:x14="http://schemas.microsoft.com/office/spreadsheetml/2009/9/main" uri="{B025F937-C7B1-47D3-B67F-A62EFF666E3E}">
          <x14:id>{337e33d0-ca97-464e-9df5-c2fa67dcb0b8}</x14:id>
        </ext>
      </extLst>
    </cfRule>
  </conditionalFormatting>
  <conditionalFormatting sqref="I5:BL33">
    <cfRule type="expression" dxfId="0" priority="33">
      <formula>AND(TODAY()&gt;=I$5,TODAY()&lt;J$5)</formula>
    </cfRule>
  </conditionalFormatting>
  <conditionalFormatting sqref="I7:BL33">
    <cfRule type="expression" dxfId="1" priority="27">
      <formula>AND(task_start&lt;=I$5,ROUNDDOWN((task_end-task_start+1)*task_progress,0)+task_start-1&gt;=I$5)</formula>
    </cfRule>
    <cfRule type="expression" dxfId="2"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formula1>1</formula1>
    </dataValidation>
  </dataValidations>
  <hyperlinks>
    <hyperlink ref="I2" r:id="rId1" display="https://www.vertex42.com/ExcelTemplates/simple-gantt-chart.html"/>
    <hyperlink ref="I1" r:id="rId2" display="SIMPLE GANTT CHART by Vertex42.com"/>
  </hyperlinks>
  <printOptions horizontalCentered="1"/>
  <pageMargins left="0.35" right="0.35" top="0.35" bottom="0.5" header="0.3" footer="0.3"/>
  <pageSetup paperSize="1" scale="57" fitToHeight="0" orientation="landscape"/>
  <headerFooter scaleWithDoc="0" differentFirst="1">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337e33d0-ca97-464e-9df5-c2fa67dcb0b8}">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showGridLines="0" workbookViewId="0">
      <selection activeCell="A1" sqref="A1"/>
    </sheetView>
  </sheetViews>
  <sheetFormatPr defaultColWidth="9.11111111111111" defaultRowHeight="13.8" outlineLevelCol="1"/>
  <cols>
    <col min="1" max="1" width="87.1111111111111" style="4" customWidth="1"/>
    <col min="2" max="16384" width="9.11111111111111" style="5"/>
  </cols>
  <sheetData>
    <row r="1" ht="46.5" customHeight="1"/>
    <row r="2" s="1" customFormat="1" ht="15.6" spans="1:2">
      <c r="A2" s="6" t="s">
        <v>2</v>
      </c>
      <c r="B2" s="6"/>
    </row>
    <row r="3" s="2" customFormat="1" ht="27" customHeight="1" spans="1:2">
      <c r="A3" s="7" t="s">
        <v>5</v>
      </c>
      <c r="B3" s="7"/>
    </row>
    <row r="4" s="3" customFormat="1" ht="25.8" spans="1:1">
      <c r="A4" s="8" t="s">
        <v>52</v>
      </c>
    </row>
    <row r="5" ht="74.1" customHeight="1" spans="1:1">
      <c r="A5" s="9" t="s">
        <v>53</v>
      </c>
    </row>
    <row r="6" ht="26.25" customHeight="1" spans="1:1">
      <c r="A6" s="8" t="s">
        <v>54</v>
      </c>
    </row>
    <row r="7" s="4" customFormat="1" ht="204.9" customHeight="1" spans="1:1">
      <c r="A7" s="10" t="s">
        <v>55</v>
      </c>
    </row>
    <row r="8" s="3" customFormat="1" ht="25.8" spans="1:1">
      <c r="A8" s="8" t="s">
        <v>56</v>
      </c>
    </row>
    <row r="9" ht="43.2" spans="1:1">
      <c r="A9" s="9" t="s">
        <v>57</v>
      </c>
    </row>
    <row r="10" s="4" customFormat="1" ht="27.9" customHeight="1" spans="1:1">
      <c r="A10" s="11" t="s">
        <v>58</v>
      </c>
    </row>
    <row r="11" s="3" customFormat="1" ht="25.8" spans="1:1">
      <c r="A11" s="8" t="s">
        <v>59</v>
      </c>
    </row>
    <row r="12" ht="28.8" spans="1:1">
      <c r="A12" s="9" t="s">
        <v>60</v>
      </c>
    </row>
    <row r="13" s="4" customFormat="1" ht="27.9" customHeight="1" spans="1:1">
      <c r="A13" s="11" t="s">
        <v>61</v>
      </c>
    </row>
    <row r="14" s="3" customFormat="1" ht="25.8" spans="1:1">
      <c r="A14" s="8" t="s">
        <v>62</v>
      </c>
    </row>
    <row r="15" ht="75" customHeight="1" spans="1:1">
      <c r="A15" s="9" t="s">
        <v>63</v>
      </c>
    </row>
    <row r="16" ht="57.6" spans="1:1">
      <c r="A16" s="9" t="s">
        <v>64</v>
      </c>
    </row>
  </sheetData>
  <hyperlinks>
    <hyperlink ref="A13" r:id="rId2" display="Project Management Templates"/>
    <hyperlink ref="A10" r:id="rId3" display="How to Use the Simple Gantt Chart"/>
    <hyperlink ref="A3" r:id="rId4" display="https://www.vertex42.com/ExcelTemplates/simple-gantt-chart.html"/>
    <hyperlink ref="A2" r:id="rId5" display="SIMPLE GANTT CHART by Vertex42.com"/>
  </hyperlinks>
  <pageMargins left="0.5" right="0.5" top="0.5" bottom="0.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ProjectSchedule</vt:lpstr>
      <vt:lpstr>About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2019-03-19T17:17:00Z</dcterms:created>
  <dcterms:modified xsi:type="dcterms:W3CDTF">2026-02-20T06:27:38Z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F9B2D79E137E4E8D8A03CD43646101A7_12</vt:lpwstr>
  </property>
  <property fmtid="{D5CDD505-2E9C-101B-9397-08002B2CF9AE}" pid="3" name="KSOProductBuildVer">
    <vt:lpwstr>1033-12.2.0.23196</vt:lpwstr>
  </property>
</Properties>
</file>